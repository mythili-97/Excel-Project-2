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ythili V\Downloads\"/>
    </mc:Choice>
  </mc:AlternateContent>
  <xr:revisionPtr revIDLastSave="0" documentId="13_ncr:1_{EDD9EF76-4810-4557-95AC-D92B24680B26}" xr6:coauthVersionLast="47" xr6:coauthVersionMax="47" xr10:uidLastSave="{00000000-0000-0000-0000-000000000000}"/>
  <bookViews>
    <workbookView xWindow="11676" yWindow="864" windowWidth="11364" windowHeight="8484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odJfdMhecajOq6LlLlgHL1ilCo0qenb8UNpbolXvAE=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2" i="1"/>
</calcChain>
</file>

<file path=xl/sharedStrings.xml><?xml version="1.0" encoding="utf-8"?>
<sst xmlns="http://schemas.openxmlformats.org/spreadsheetml/2006/main" count="223" uniqueCount="167">
  <si>
    <t>Product ID</t>
  </si>
  <si>
    <t>Product Name</t>
  </si>
  <si>
    <t>Brand Name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</si>
  <si>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</si>
  <si>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</si>
  <si>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</si>
  <si>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</si>
  <si>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</si>
  <si>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</si>
  <si>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</si>
  <si>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</si>
  <si>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</si>
  <si>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</si>
  <si>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</si>
  <si>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</si>
  <si>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</si>
  <si>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</si>
  <si>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</si>
  <si>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</si>
  <si>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</si>
  <si>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</si>
  <si>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</si>
  <si>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</si>
  <si>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</si>
  <si>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</si>
  <si>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</si>
  <si>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</si>
  <si>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</si>
  <si>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</si>
  <si>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</si>
  <si>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</si>
  <si>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</si>
  <si>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</si>
  <si>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</si>
  <si>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</si>
  <si>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</si>
  <si>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</si>
  <si>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</si>
  <si>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</si>
  <si>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</si>
  <si>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</si>
  <si>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</si>
  <si>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</si>
  <si>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</si>
  <si>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</si>
  <si>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</si>
  <si>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</si>
  <si>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</si>
  <si>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</si>
  <si>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</si>
  <si>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</si>
  <si>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</si>
  <si>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</si>
  <si>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</si>
  <si>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</si>
  <si>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</si>
  <si>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</si>
  <si>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</si>
  <si>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</si>
  <si>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</si>
  <si>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</si>
  <si>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</si>
  <si>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</si>
  <si>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</si>
  <si>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</si>
  <si>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</si>
  <si>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</si>
  <si>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</si>
  <si>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</si>
  <si>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</si>
  <si>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</si>
  <si>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</si>
  <si>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</si>
  <si>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</si>
  <si>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</si>
  <si>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</si>
  <si>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</si>
  <si>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</si>
  <si>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</si>
  <si>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</si>
  <si>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</si>
  <si>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</si>
  <si>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</si>
  <si>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</si>
  <si>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</si>
  <si>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</si>
  <si>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</si>
  <si>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</si>
  <si>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</si>
  <si>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</si>
  <si>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1.Number of missing values in price column:3</t>
  </si>
  <si>
    <t>Formula Used:CountBlank(D2:D35)</t>
  </si>
  <si>
    <t>2.Missing values can be replaced with average of the particular column.</t>
  </si>
  <si>
    <t>Formula Used:IF(ISBLANK(D2),AVERAGE(D2:D35),D2)</t>
  </si>
  <si>
    <t>Average:309.35</t>
  </si>
  <si>
    <t>3.products with missing categories:4</t>
  </si>
  <si>
    <t>For missing numerical values we can take average but for text values we can not predict it .so we can replace it with unknown values.</t>
  </si>
  <si>
    <t xml:space="preserve"> or null values.</t>
  </si>
  <si>
    <t>T-Shirt</t>
  </si>
  <si>
    <t>Unknown</t>
  </si>
  <si>
    <t>4.Inconsistent text format in product name can be removed using</t>
  </si>
  <si>
    <t>Formula:PROPER(CLEAN(TRIM(B2)))</t>
  </si>
  <si>
    <t>5.Misspellings in category column is replaced using find and replace function.for example:</t>
  </si>
  <si>
    <t>For example:Electroni is replaced by Electronics</t>
  </si>
  <si>
    <t>Number of values removed:3</t>
  </si>
  <si>
    <t>6.Removing duplicate values using removing duplicates function.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</si>
  <si>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</si>
  <si>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</si>
  <si>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</si>
  <si>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</si>
  <si>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</si>
  <si>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</si>
  <si>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</si>
  <si>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</si>
  <si>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</si>
  <si>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</si>
  <si>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</si>
  <si>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</si>
  <si>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28-JAN</t>
  </si>
  <si>
    <t>15-FEB</t>
  </si>
  <si>
    <t>3-MAR</t>
  </si>
  <si>
    <t>11-APR</t>
  </si>
  <si>
    <t>22-MAY</t>
  </si>
  <si>
    <t>7-JUN</t>
  </si>
  <si>
    <t>19-JUL</t>
  </si>
  <si>
    <t>23-AUG</t>
  </si>
  <si>
    <t>5-SEP</t>
  </si>
  <si>
    <t>14-OCT</t>
  </si>
  <si>
    <t>17-JUN</t>
  </si>
  <si>
    <t>25-NOV</t>
  </si>
  <si>
    <t>8-DEC</t>
  </si>
  <si>
    <t>18-FEB</t>
  </si>
  <si>
    <t>16-APR</t>
  </si>
  <si>
    <t>21-AUG</t>
  </si>
  <si>
    <t>20-AUG</t>
  </si>
  <si>
    <t>27-JAN</t>
  </si>
  <si>
    <t>1-MAR</t>
  </si>
  <si>
    <t>14-AUG</t>
  </si>
  <si>
    <t>14-MAY</t>
  </si>
  <si>
    <t>9-JAN</t>
  </si>
  <si>
    <t>29-SEP</t>
  </si>
  <si>
    <t>3-JUN</t>
  </si>
  <si>
    <t>11-JUL</t>
  </si>
  <si>
    <t>7-MAR</t>
  </si>
  <si>
    <t>13-APR</t>
  </si>
  <si>
    <t>24-MAY</t>
  </si>
  <si>
    <t>2-DEC</t>
  </si>
  <si>
    <t>9-JUL</t>
  </si>
  <si>
    <t>Manufacturing Date</t>
  </si>
  <si>
    <t>Country Code</t>
  </si>
  <si>
    <t>Product Brand</t>
  </si>
  <si>
    <t>7.Splitting columns:Product ID column is split into manufacturing date and country code columns.</t>
  </si>
  <si>
    <t>Function used:Text to columns option in data tab.To separate them (-) delimiter is used.</t>
  </si>
  <si>
    <t>8.Merging columns:Product name and brand name is merged to create product brand column.</t>
  </si>
  <si>
    <t>Formula Used: C</t>
  </si>
  <si>
    <t>CONCATENATE(D2,"-",E2)</t>
  </si>
  <si>
    <t>Price</t>
  </si>
  <si>
    <t>9.Convert value in price column to currency format:</t>
  </si>
  <si>
    <t>In home tab change the data type as Currency for price column.</t>
  </si>
  <si>
    <t>10.Convert manufacturing date to DD-MM-YYYY format:</t>
  </si>
  <si>
    <t>Since we have no value for year in given dataset,the given date has been formatted by date option in home tab with date and month are displayed.</t>
  </si>
  <si>
    <t>11.Conditional Formatting in price column:</t>
  </si>
  <si>
    <t>Color bars are applied to price column base on the price range(small to large)</t>
  </si>
  <si>
    <t xml:space="preserve">12.To highlight cells </t>
  </si>
  <si>
    <t>cells in electronics category:</t>
  </si>
  <si>
    <t>In home tab,there is option called highlight cell rules in conditional formatting.In that we should give text that contains electronics in category option.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</si>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</sst>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u/>
      <sz val="12"/>
      <color rgb="FF000000"/>
      <name val="Times New Roman"/>
    </font>
    <font>
      <sz val="12"/>
      <color theme="1"/>
      <name val="Times New Roman"/>
    </font>
    <font>
      <sz val="10"/>
      <color theme="1"/>
      <name val="Arial"/>
      <family val="2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2" fillId="0" borderId="0" xfId="0" applyNumberFormat="1" applyFont="1"/>
    <xf numFmtId="164" fontId="2" fillId="3" borderId="0" xfId="0" applyNumberFormat="1" applyFont="1" applyFill="1"/>
    <xf numFmtId="14" fontId="0" fillId="0" borderId="0" xfId="0" applyNumberFormat="1"/>
    <xf numFmtId="0" fontId="6" fillId="0" borderId="0" xfId="0" applyFont="1"/>
    <xf numFmtId="0" fontId="0" fillId="4" borderId="0" xfId="0" applyFill="1"/>
    <xf numFmtId="0" fontId="0" fillId="5" borderId="0" xfId="0" applyFill="1"/>
    <xf numFmtId="0" fontId="2" fillId="5" borderId="0" xfId="0" applyFont="1" applyFill="1"/>
    <xf numFmtId="0" fontId="2" fillId="4" borderId="0" xfId="0" applyFont="1" applyFill="1"/>
    <xf numFmtId="0" fontId="7" fillId="4" borderId="0" xfId="0" applyFont="1" applyFill="1"/>
    <xf numFmtId="0" fontId="8" fillId="4" borderId="0" xfId="0" applyFont="1" applyFill="1"/>
    <xf numFmtId="0" fontId="6" fillId="4" borderId="0" xfId="0" applyFont="1" applyFill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.00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D209BD-A38C-4C63-A568-374E4C8D84DD}" name="Table1" displayName="Table1" ref="A1:I32" totalsRowShown="0" headerRowDxfId="9" dataDxfId="8">
  <autoFilter ref="A1:I32" xr:uid="{61D209BD-A38C-4C63-A568-374E4C8D84DD}"/>
  <tableColumns count="9">
    <tableColumn id="1" xr3:uid="{06903574-58FB-4EEA-9EA3-03C71FDDBFEE}" name="Manufacturing Date"/>
    <tableColumn id="2" xr3:uid="{02FDBEF0-49B2-42B7-A8E4-AB2E3D65F767}" name="Country Code"/>
    <tableColumn id="3" xr3:uid="{62D659BF-0F7F-4D09-B915-ED008C9C53B8}" name="Product ID" dataDxfId="7"/>
    <tableColumn id="4" xr3:uid="{52743CD3-20F4-47D3-89A2-DF00B73E0748}" name="Product Name" dataDxfId="6"/>
    <tableColumn id="5" xr3:uid="{491A152C-AF31-42F6-B9C1-1FA221434E48}" name="Brand Name" dataDxfId="5"/>
    <tableColumn id="6" xr3:uid="{C847E3AE-8203-499C-8AE8-E2C884A9FD01}" name="Product Brand" dataDxfId="4">
      <calculatedColumnFormula>CONCATENATE(D2,"-",E2)</calculatedColumnFormula>
    </tableColumn>
    <tableColumn id="7" xr3:uid="{2A960CD1-3A9C-45FB-A7F1-21F57050D270}" name="Price" dataDxfId="3"/>
    <tableColumn id="8" xr3:uid="{B0DEB9F6-814A-4CEA-9356-109B694AA946}" name="Quantity" dataDxfId="2"/>
    <tableColumn id="9" xr3:uid="{061A74D1-A264-48AB-BF02-3900E0219F87}" name="Category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topLeftCell="E1" zoomScale="94" workbookViewId="0">
      <selection activeCell="P2" sqref="P2"/>
    </sheetView>
  </sheetViews>
  <sheetFormatPr defaultColWidth="12.6640625" defaultRowHeight="15" customHeight="1" x14ac:dyDescent="0.25"/>
  <cols>
    <col min="1" max="1" width="19" customWidth="1"/>
    <col min="2" max="2" width="17.21875" customWidth="1"/>
    <col min="4" max="4" width="16.109375" customWidth="1"/>
    <col min="5" max="5" width="15.109375" customWidth="1"/>
    <col min="6" max="6" width="15.88671875" customWidth="1"/>
    <col min="11" max="11" width="0.33203125" customWidth="1"/>
    <col min="12" max="12" width="12.6640625" hidden="1" customWidth="1"/>
    <col min="13" max="13" width="8.5546875" hidden="1" customWidth="1"/>
    <col min="14" max="15" width="12.6640625" hidden="1" customWidth="1"/>
  </cols>
  <sheetData>
    <row r="1" spans="1:24" ht="15.75" customHeight="1" x14ac:dyDescent="0.25">
      <c r="A1" t="s">
        <v>148</v>
      </c>
      <c r="B1" t="s">
        <v>149</v>
      </c>
      <c r="C1" s="1" t="s">
        <v>0</v>
      </c>
      <c r="D1" s="1" t="s">
        <v>1</v>
      </c>
      <c r="E1" s="1" t="s">
        <v>2</v>
      </c>
      <c r="F1" s="1" t="s">
        <v>150</v>
      </c>
      <c r="G1" s="1" t="s">
        <v>156</v>
      </c>
      <c r="H1" s="1" t="s">
        <v>3</v>
      </c>
      <c r="I1" s="1" t="s">
        <v>4</v>
      </c>
    </row>
    <row r="2" spans="1:24" ht="15.75" customHeight="1" x14ac:dyDescent="0.25">
      <c r="A2" s="9" t="s">
        <v>118</v>
      </c>
      <c r="B2" t="s">
        <v>106</v>
      </c>
      <c r="C2" s="2" t="s">
        <v>5</v>
      </c>
      <c r="D2" s="2" t="s">
        <v>36</v>
      </c>
      <c r="E2" s="2" t="s">
        <v>6</v>
      </c>
      <c r="F2" s="2" t="str">
        <f>CONCATENATE(D2,"-",E2)</f>
        <v>Laptop-Dell</v>
      </c>
      <c r="G2" s="7">
        <v>1000</v>
      </c>
      <c r="H2" s="2">
        <v>30</v>
      </c>
      <c r="I2" s="2" t="s">
        <v>7</v>
      </c>
      <c r="P2" t="s">
        <v>90</v>
      </c>
      <c r="R2" s="11"/>
    </row>
    <row r="3" spans="1:24" ht="15.75" customHeight="1" x14ac:dyDescent="0.3">
      <c r="A3" t="s">
        <v>119</v>
      </c>
      <c r="B3" t="s">
        <v>106</v>
      </c>
      <c r="C3" s="3" t="s">
        <v>8</v>
      </c>
      <c r="D3" s="3" t="s">
        <v>9</v>
      </c>
      <c r="E3" s="3" t="s">
        <v>10</v>
      </c>
      <c r="F3" s="2" t="str">
        <f t="shared" ref="F3:F32" si="0">CONCATENATE(D3,"-",E3)</f>
        <v>Sneakers-Nike</v>
      </c>
      <c r="G3" s="8">
        <v>80</v>
      </c>
      <c r="H3" s="3">
        <v>15</v>
      </c>
      <c r="I3" s="3" t="s">
        <v>11</v>
      </c>
      <c r="K3" s="4"/>
      <c r="L3" s="2"/>
      <c r="M3" s="2"/>
      <c r="N3" s="2"/>
      <c r="O3" s="2"/>
      <c r="P3" s="2" t="s">
        <v>91</v>
      </c>
      <c r="Q3" s="12"/>
      <c r="R3" s="13"/>
    </row>
    <row r="4" spans="1:24" ht="15.75" customHeight="1" x14ac:dyDescent="0.3">
      <c r="A4" t="s">
        <v>120</v>
      </c>
      <c r="B4" t="s">
        <v>106</v>
      </c>
      <c r="C4" s="2" t="s">
        <v>12</v>
      </c>
      <c r="D4" s="2" t="s">
        <v>13</v>
      </c>
      <c r="E4" s="2" t="s">
        <v>14</v>
      </c>
      <c r="F4" s="2" t="str">
        <f t="shared" si="0"/>
        <v>Coffee Maker-Keurig</v>
      </c>
      <c r="G4" s="7">
        <v>130</v>
      </c>
      <c r="H4" s="2">
        <v>40</v>
      </c>
      <c r="I4" s="2" t="s">
        <v>15</v>
      </c>
      <c r="K4" s="2"/>
      <c r="L4" s="5"/>
      <c r="M4" s="2"/>
      <c r="N4" s="2"/>
      <c r="O4" s="2"/>
      <c r="P4" s="2" t="s">
        <v>92</v>
      </c>
      <c r="Q4" s="2"/>
      <c r="R4" s="2"/>
    </row>
    <row r="5" spans="1:24" ht="15.75" customHeight="1" x14ac:dyDescent="0.3">
      <c r="A5" t="s">
        <v>121</v>
      </c>
      <c r="B5" t="s">
        <v>106</v>
      </c>
      <c r="C5" s="3" t="s">
        <v>166</v>
      </c>
      <c r="D5" s="3" t="s">
        <v>70</v>
      </c>
      <c r="E5" s="3" t="s">
        <v>16</v>
      </c>
      <c r="F5" s="2" t="str">
        <f t="shared" si="0"/>
        <v>Smartphone-Samsung</v>
      </c>
      <c r="G5" s="8">
        <v>900</v>
      </c>
      <c r="H5" s="3">
        <v>25</v>
      </c>
      <c r="I5" s="3" t="s">
        <v>7</v>
      </c>
      <c r="K5" s="2"/>
      <c r="L5" s="6"/>
      <c r="M5" s="2"/>
      <c r="N5" s="2"/>
      <c r="O5" s="2"/>
      <c r="P5" s="2" t="s">
        <v>93</v>
      </c>
      <c r="Q5" s="13"/>
      <c r="R5" s="13"/>
      <c r="S5" s="12"/>
    </row>
    <row r="6" spans="1:24" ht="15.75" customHeight="1" x14ac:dyDescent="0.25">
      <c r="A6" t="s">
        <v>122</v>
      </c>
      <c r="B6" t="s">
        <v>106</v>
      </c>
      <c r="C6" s="2" t="s">
        <v>17</v>
      </c>
      <c r="D6" s="2" t="s">
        <v>18</v>
      </c>
      <c r="E6" s="2" t="s">
        <v>19</v>
      </c>
      <c r="F6" s="2" t="str">
        <f t="shared" si="0"/>
        <v>Backpack-North Face</v>
      </c>
      <c r="G6" s="7">
        <v>70</v>
      </c>
      <c r="H6" s="2">
        <v>20</v>
      </c>
      <c r="I6" s="2" t="s">
        <v>99</v>
      </c>
      <c r="P6" s="14" t="s">
        <v>94</v>
      </c>
      <c r="Q6" s="11"/>
    </row>
    <row r="7" spans="1:24" ht="15.75" customHeight="1" x14ac:dyDescent="0.25">
      <c r="A7" t="s">
        <v>123</v>
      </c>
      <c r="B7" t="s">
        <v>107</v>
      </c>
      <c r="C7" s="3" t="s">
        <v>20</v>
      </c>
      <c r="D7" s="3" t="s">
        <v>21</v>
      </c>
      <c r="E7" s="3" t="s">
        <v>22</v>
      </c>
      <c r="F7" s="2" t="str">
        <f t="shared" si="0"/>
        <v>Headphones-Sony</v>
      </c>
      <c r="G7" s="8">
        <v>309.35483870967744</v>
      </c>
      <c r="H7" s="3">
        <v>45</v>
      </c>
      <c r="I7" s="3" t="s">
        <v>7</v>
      </c>
      <c r="P7" s="2" t="s">
        <v>95</v>
      </c>
      <c r="Q7" s="11"/>
      <c r="R7" s="11"/>
    </row>
    <row r="8" spans="1:24" ht="15.75" customHeight="1" x14ac:dyDescent="0.25">
      <c r="A8" t="s">
        <v>124</v>
      </c>
      <c r="B8" t="s">
        <v>107</v>
      </c>
      <c r="C8" s="2" t="s">
        <v>23</v>
      </c>
      <c r="D8" s="2" t="s">
        <v>98</v>
      </c>
      <c r="E8" s="2" t="s">
        <v>24</v>
      </c>
      <c r="F8" s="2" t="str">
        <f t="shared" si="0"/>
        <v>T-Shirt-Adidas</v>
      </c>
      <c r="G8" s="7">
        <v>30</v>
      </c>
      <c r="H8" s="2">
        <v>5</v>
      </c>
      <c r="I8" s="2" t="s">
        <v>11</v>
      </c>
      <c r="P8" s="2" t="s">
        <v>96</v>
      </c>
      <c r="V8" s="15"/>
      <c r="W8" s="11"/>
      <c r="X8" s="11" t="s">
        <v>97</v>
      </c>
    </row>
    <row r="9" spans="1:24" ht="15.75" customHeight="1" x14ac:dyDescent="0.25">
      <c r="A9" t="s">
        <v>125</v>
      </c>
      <c r="B9" t="s">
        <v>107</v>
      </c>
      <c r="C9" s="3" t="s">
        <v>25</v>
      </c>
      <c r="D9" s="3" t="s">
        <v>26</v>
      </c>
      <c r="E9" s="3" t="s">
        <v>27</v>
      </c>
      <c r="F9" s="2" t="str">
        <f t="shared" si="0"/>
        <v>Blender-Ninja</v>
      </c>
      <c r="G9" s="8">
        <v>90</v>
      </c>
      <c r="H9" s="3">
        <v>35</v>
      </c>
      <c r="I9" s="3" t="s">
        <v>15</v>
      </c>
      <c r="P9" s="2" t="s">
        <v>100</v>
      </c>
    </row>
    <row r="10" spans="1:24" ht="15.75" customHeight="1" x14ac:dyDescent="0.25">
      <c r="A10" t="s">
        <v>126</v>
      </c>
      <c r="B10" t="s">
        <v>107</v>
      </c>
      <c r="C10" s="2" t="s">
        <v>28</v>
      </c>
      <c r="D10" s="2" t="s">
        <v>29</v>
      </c>
      <c r="E10" s="2" t="s">
        <v>30</v>
      </c>
      <c r="F10" s="2" t="str">
        <f t="shared" si="0"/>
        <v>Tablet-Apple</v>
      </c>
      <c r="G10" s="7">
        <v>500</v>
      </c>
      <c r="H10" s="2">
        <v>50</v>
      </c>
      <c r="I10" s="2" t="s">
        <v>7</v>
      </c>
      <c r="P10" s="13" t="s">
        <v>101</v>
      </c>
      <c r="Q10" s="12"/>
      <c r="R10" s="12"/>
    </row>
    <row r="11" spans="1:24" ht="15.75" customHeight="1" x14ac:dyDescent="0.25">
      <c r="A11" t="s">
        <v>127</v>
      </c>
      <c r="B11" t="s">
        <v>107</v>
      </c>
      <c r="C11" s="3" t="s">
        <v>31</v>
      </c>
      <c r="D11" s="3" t="s">
        <v>32</v>
      </c>
      <c r="E11" s="3" t="s">
        <v>33</v>
      </c>
      <c r="F11" s="2" t="str">
        <f t="shared" si="0"/>
        <v>Hiking Boots-Timberland</v>
      </c>
      <c r="G11" s="8">
        <v>130</v>
      </c>
      <c r="H11" s="3">
        <v>10</v>
      </c>
      <c r="I11" s="3" t="s">
        <v>34</v>
      </c>
      <c r="P11" s="2" t="s">
        <v>102</v>
      </c>
      <c r="U11" s="11" t="s">
        <v>103</v>
      </c>
      <c r="V11" s="11"/>
      <c r="W11" s="11"/>
      <c r="X11" s="11"/>
    </row>
    <row r="12" spans="1:24" ht="15.75" customHeight="1" x14ac:dyDescent="0.25">
      <c r="A12" t="s">
        <v>128</v>
      </c>
      <c r="B12" t="s">
        <v>108</v>
      </c>
      <c r="C12" s="2" t="s">
        <v>35</v>
      </c>
      <c r="D12" s="2" t="s">
        <v>36</v>
      </c>
      <c r="E12" s="2" t="s">
        <v>37</v>
      </c>
      <c r="F12" s="2" t="str">
        <f t="shared" si="0"/>
        <v>Laptop-HP</v>
      </c>
      <c r="G12" s="7">
        <v>950</v>
      </c>
      <c r="H12" s="2">
        <v>25</v>
      </c>
      <c r="I12" s="2" t="s">
        <v>7</v>
      </c>
      <c r="P12" s="2" t="s">
        <v>105</v>
      </c>
    </row>
    <row r="13" spans="1:24" ht="15.75" customHeight="1" x14ac:dyDescent="0.25">
      <c r="A13" t="s">
        <v>129</v>
      </c>
      <c r="B13" t="s">
        <v>109</v>
      </c>
      <c r="C13" s="3" t="s">
        <v>38</v>
      </c>
      <c r="D13" s="3" t="s">
        <v>9</v>
      </c>
      <c r="E13" s="3" t="s">
        <v>24</v>
      </c>
      <c r="F13" s="2" t="str">
        <f t="shared" si="0"/>
        <v>Sneakers-Adidas</v>
      </c>
      <c r="G13" s="8">
        <v>90</v>
      </c>
      <c r="H13" s="3">
        <v>40</v>
      </c>
      <c r="I13" s="3" t="s">
        <v>99</v>
      </c>
      <c r="P13" s="14" t="s">
        <v>104</v>
      </c>
      <c r="Q13" s="11"/>
    </row>
    <row r="14" spans="1:24" ht="15.75" customHeight="1" x14ac:dyDescent="0.25">
      <c r="A14" t="s">
        <v>130</v>
      </c>
      <c r="B14" t="s">
        <v>110</v>
      </c>
      <c r="C14" s="2" t="s">
        <v>39</v>
      </c>
      <c r="D14" s="2" t="s">
        <v>13</v>
      </c>
      <c r="E14" s="2" t="s">
        <v>40</v>
      </c>
      <c r="F14" s="2" t="str">
        <f t="shared" si="0"/>
        <v>Coffee Maker-Nespresso</v>
      </c>
      <c r="G14" s="7">
        <v>120</v>
      </c>
      <c r="H14" s="2">
        <v>35</v>
      </c>
      <c r="I14" s="2" t="s">
        <v>99</v>
      </c>
      <c r="P14" s="2" t="s">
        <v>151</v>
      </c>
    </row>
    <row r="15" spans="1:24" ht="15.75" customHeight="1" x14ac:dyDescent="0.25">
      <c r="A15" t="s">
        <v>131</v>
      </c>
      <c r="B15" t="s">
        <v>111</v>
      </c>
      <c r="C15" s="3" t="s">
        <v>41</v>
      </c>
      <c r="D15" s="3" t="s">
        <v>42</v>
      </c>
      <c r="E15" s="3" t="s">
        <v>43</v>
      </c>
      <c r="F15" s="2" t="str">
        <f t="shared" si="0"/>
        <v>Smartwatch-Fitbit</v>
      </c>
      <c r="G15" s="8">
        <v>150</v>
      </c>
      <c r="H15" s="3">
        <v>15</v>
      </c>
      <c r="I15" s="3" t="s">
        <v>7</v>
      </c>
      <c r="P15" s="2" t="s">
        <v>152</v>
      </c>
      <c r="S15" s="16"/>
      <c r="T15" s="11"/>
      <c r="U15" s="11"/>
    </row>
    <row r="16" spans="1:24" ht="15.75" customHeight="1" x14ac:dyDescent="0.25">
      <c r="A16" t="s">
        <v>132</v>
      </c>
      <c r="B16" t="s">
        <v>112</v>
      </c>
      <c r="C16" s="2" t="s">
        <v>44</v>
      </c>
      <c r="D16" s="2" t="s">
        <v>21</v>
      </c>
      <c r="E16" s="2" t="s">
        <v>45</v>
      </c>
      <c r="F16" s="2" t="str">
        <f t="shared" si="0"/>
        <v>Headphones-Bose</v>
      </c>
      <c r="G16" s="7">
        <v>250</v>
      </c>
      <c r="H16" s="2">
        <v>20</v>
      </c>
      <c r="I16" s="2" t="s">
        <v>7</v>
      </c>
      <c r="P16" s="2" t="s">
        <v>153</v>
      </c>
    </row>
    <row r="17" spans="1:25" ht="15.75" customHeight="1" x14ac:dyDescent="0.25">
      <c r="A17" t="s">
        <v>133</v>
      </c>
      <c r="B17" t="s">
        <v>111</v>
      </c>
      <c r="C17" s="3" t="s">
        <v>46</v>
      </c>
      <c r="D17" s="3" t="s">
        <v>47</v>
      </c>
      <c r="E17" s="3" t="s">
        <v>48</v>
      </c>
      <c r="F17" s="2" t="str">
        <f t="shared" si="0"/>
        <v>Laptop Bag-Samsonite</v>
      </c>
      <c r="G17" s="8">
        <v>50</v>
      </c>
      <c r="H17" s="3">
        <v>35</v>
      </c>
      <c r="I17" s="3" t="s">
        <v>49</v>
      </c>
      <c r="P17" s="2" t="s">
        <v>154</v>
      </c>
      <c r="Q17" s="12" t="s">
        <v>155</v>
      </c>
      <c r="R17" s="12"/>
    </row>
    <row r="18" spans="1:25" ht="15.75" customHeight="1" x14ac:dyDescent="0.25">
      <c r="A18" t="s">
        <v>134</v>
      </c>
      <c r="B18" t="s">
        <v>113</v>
      </c>
      <c r="C18" s="2" t="s">
        <v>50</v>
      </c>
      <c r="D18" s="2" t="s">
        <v>42</v>
      </c>
      <c r="E18" s="2" t="s">
        <v>51</v>
      </c>
      <c r="F18" s="2" t="str">
        <f t="shared" si="0"/>
        <v>Smartwatch-Huawei</v>
      </c>
      <c r="G18" s="7">
        <v>160</v>
      </c>
      <c r="H18" s="2">
        <v>15</v>
      </c>
      <c r="I18" s="2" t="s">
        <v>7</v>
      </c>
      <c r="P18" s="2" t="s">
        <v>157</v>
      </c>
    </row>
    <row r="19" spans="1:25" ht="15.75" customHeight="1" x14ac:dyDescent="0.25">
      <c r="A19" t="s">
        <v>135</v>
      </c>
      <c r="B19" t="s">
        <v>114</v>
      </c>
      <c r="C19" s="3" t="s">
        <v>52</v>
      </c>
      <c r="D19" s="3" t="s">
        <v>36</v>
      </c>
      <c r="E19" s="3" t="s">
        <v>53</v>
      </c>
      <c r="F19" s="2" t="str">
        <f t="shared" si="0"/>
        <v>Laptop-Asus</v>
      </c>
      <c r="G19" s="8">
        <v>980</v>
      </c>
      <c r="H19" s="3">
        <v>10</v>
      </c>
      <c r="I19" s="3" t="s">
        <v>7</v>
      </c>
      <c r="P19" s="14" t="s">
        <v>158</v>
      </c>
      <c r="Q19" s="11"/>
      <c r="R19" s="11"/>
      <c r="S19" s="11"/>
      <c r="T19" s="11"/>
    </row>
    <row r="20" spans="1:25" ht="15.75" customHeight="1" x14ac:dyDescent="0.25">
      <c r="A20" t="s">
        <v>136</v>
      </c>
      <c r="B20" t="s">
        <v>107</v>
      </c>
      <c r="C20" s="2" t="s">
        <v>54</v>
      </c>
      <c r="D20" s="2" t="s">
        <v>55</v>
      </c>
      <c r="E20" s="2" t="s">
        <v>56</v>
      </c>
      <c r="F20" s="2" t="str">
        <f t="shared" si="0"/>
        <v>Sunglasses-Oakley</v>
      </c>
      <c r="G20" s="7">
        <v>150</v>
      </c>
      <c r="H20" s="2">
        <v>15</v>
      </c>
      <c r="I20" s="2" t="s">
        <v>11</v>
      </c>
      <c r="P20" s="10" t="s">
        <v>159</v>
      </c>
    </row>
    <row r="21" spans="1:25" ht="15.75" customHeight="1" x14ac:dyDescent="0.25">
      <c r="A21" t="s">
        <v>137</v>
      </c>
      <c r="B21" t="s">
        <v>106</v>
      </c>
      <c r="C21" s="3" t="s">
        <v>57</v>
      </c>
      <c r="D21" s="3" t="s">
        <v>58</v>
      </c>
      <c r="E21" s="3" t="s">
        <v>59</v>
      </c>
      <c r="F21" s="2" t="str">
        <f t="shared" si="0"/>
        <v>Camping Tent-Coleman</v>
      </c>
      <c r="G21" s="8">
        <v>309.35483870967744</v>
      </c>
      <c r="H21" s="3">
        <v>10</v>
      </c>
      <c r="I21" s="3" t="s">
        <v>34</v>
      </c>
      <c r="P21" s="17" t="s">
        <v>160</v>
      </c>
      <c r="Q21" s="11"/>
      <c r="R21" s="11"/>
    </row>
    <row r="22" spans="1:25" ht="15.75" customHeight="1" x14ac:dyDescent="0.25">
      <c r="A22" t="s">
        <v>138</v>
      </c>
      <c r="B22" t="s">
        <v>115</v>
      </c>
      <c r="C22" s="2" t="s">
        <v>60</v>
      </c>
      <c r="D22" s="2" t="s">
        <v>61</v>
      </c>
      <c r="E22" s="2" t="s">
        <v>62</v>
      </c>
      <c r="F22" s="2" t="str">
        <f t="shared" si="0"/>
        <v>Camera-Nikon</v>
      </c>
      <c r="G22" s="7">
        <v>700</v>
      </c>
      <c r="H22" s="2">
        <v>50</v>
      </c>
      <c r="I22" s="2" t="s">
        <v>7</v>
      </c>
      <c r="P22" s="10" t="s">
        <v>161</v>
      </c>
    </row>
    <row r="23" spans="1:25" ht="15.75" customHeight="1" x14ac:dyDescent="0.25">
      <c r="A23" t="s">
        <v>139</v>
      </c>
      <c r="B23" t="s">
        <v>111</v>
      </c>
      <c r="C23" s="3" t="s">
        <v>63</v>
      </c>
      <c r="D23" s="3" t="s">
        <v>64</v>
      </c>
      <c r="E23" s="3" t="s">
        <v>65</v>
      </c>
      <c r="F23" s="2" t="str">
        <f t="shared" si="0"/>
        <v>Microwave-Panasonic</v>
      </c>
      <c r="G23" s="8">
        <v>80</v>
      </c>
      <c r="H23" s="3">
        <v>20</v>
      </c>
      <c r="I23" s="3" t="s">
        <v>15</v>
      </c>
      <c r="P23" s="17" t="s">
        <v>162</v>
      </c>
    </row>
    <row r="24" spans="1:25" ht="15.75" customHeight="1" x14ac:dyDescent="0.25">
      <c r="A24" t="s">
        <v>124</v>
      </c>
      <c r="B24" t="s">
        <v>116</v>
      </c>
      <c r="C24" s="2" t="s">
        <v>66</v>
      </c>
      <c r="D24" s="2" t="s">
        <v>67</v>
      </c>
      <c r="E24" s="2" t="s">
        <v>68</v>
      </c>
      <c r="F24" s="2" t="str">
        <f t="shared" si="0"/>
        <v>Fitness Tracker-Xiaomi</v>
      </c>
      <c r="G24" s="7">
        <v>150</v>
      </c>
      <c r="H24" s="2">
        <v>30</v>
      </c>
      <c r="I24" s="2" t="s">
        <v>99</v>
      </c>
      <c r="P24" s="10" t="s">
        <v>163</v>
      </c>
      <c r="Q24" t="s">
        <v>164</v>
      </c>
    </row>
    <row r="25" spans="1:25" ht="15.75" customHeight="1" x14ac:dyDescent="0.25">
      <c r="A25" t="s">
        <v>140</v>
      </c>
      <c r="B25" t="s">
        <v>111</v>
      </c>
      <c r="C25" s="2" t="s">
        <v>69</v>
      </c>
      <c r="D25" s="2" t="s">
        <v>70</v>
      </c>
      <c r="E25" s="2" t="s">
        <v>71</v>
      </c>
      <c r="F25" s="2" t="str">
        <f t="shared" si="0"/>
        <v>Smartphone-Google</v>
      </c>
      <c r="G25" s="7">
        <v>800</v>
      </c>
      <c r="H25" s="2">
        <v>45</v>
      </c>
      <c r="I25" s="2" t="s">
        <v>7</v>
      </c>
      <c r="P25" s="10" t="s">
        <v>165</v>
      </c>
      <c r="V25" s="11"/>
      <c r="W25" s="11"/>
      <c r="X25" s="11"/>
      <c r="Y25" s="11"/>
    </row>
    <row r="26" spans="1:25" ht="15.75" customHeight="1" x14ac:dyDescent="0.25">
      <c r="A26" t="s">
        <v>141</v>
      </c>
      <c r="B26" t="s">
        <v>111</v>
      </c>
      <c r="C26" s="3" t="s">
        <v>72</v>
      </c>
      <c r="D26" s="3" t="s">
        <v>55</v>
      </c>
      <c r="E26" s="3" t="s">
        <v>73</v>
      </c>
      <c r="F26" s="2" t="str">
        <f t="shared" si="0"/>
        <v>Sunglasses-Ray-Ban</v>
      </c>
      <c r="G26" s="8">
        <v>309.35483870967744</v>
      </c>
      <c r="H26" s="3">
        <v>25</v>
      </c>
      <c r="I26" s="3" t="s">
        <v>11</v>
      </c>
    </row>
    <row r="27" spans="1:25" ht="15.75" customHeight="1" x14ac:dyDescent="0.25">
      <c r="A27" t="s">
        <v>142</v>
      </c>
      <c r="B27" t="s">
        <v>111</v>
      </c>
      <c r="C27" s="2" t="s">
        <v>74</v>
      </c>
      <c r="D27" s="2" t="s">
        <v>26</v>
      </c>
      <c r="E27" s="2" t="s">
        <v>75</v>
      </c>
      <c r="F27" s="2" t="str">
        <f t="shared" si="0"/>
        <v>Blender-Vitamix</v>
      </c>
      <c r="G27" s="7">
        <v>400</v>
      </c>
      <c r="H27" s="2">
        <v>40</v>
      </c>
      <c r="I27" s="2" t="s">
        <v>15</v>
      </c>
    </row>
    <row r="28" spans="1:25" ht="15.75" customHeight="1" x14ac:dyDescent="0.25">
      <c r="A28" t="s">
        <v>143</v>
      </c>
      <c r="B28" t="s">
        <v>111</v>
      </c>
      <c r="C28" s="2" t="s">
        <v>76</v>
      </c>
      <c r="D28" s="2" t="s">
        <v>77</v>
      </c>
      <c r="E28" s="2" t="s">
        <v>78</v>
      </c>
      <c r="F28" s="2" t="str">
        <f t="shared" si="0"/>
        <v>Dress-Zara</v>
      </c>
      <c r="G28" s="7">
        <v>60</v>
      </c>
      <c r="H28" s="2">
        <v>30</v>
      </c>
      <c r="I28" s="2" t="s">
        <v>11</v>
      </c>
    </row>
    <row r="29" spans="1:25" ht="15.75" customHeight="1" x14ac:dyDescent="0.25">
      <c r="A29" t="s">
        <v>144</v>
      </c>
      <c r="B29" t="s">
        <v>111</v>
      </c>
      <c r="C29" s="3" t="s">
        <v>79</v>
      </c>
      <c r="D29" s="3" t="s">
        <v>80</v>
      </c>
      <c r="E29" s="3" t="s">
        <v>81</v>
      </c>
      <c r="F29" s="2" t="str">
        <f t="shared" si="0"/>
        <v>Toaster-Hamilton</v>
      </c>
      <c r="G29" s="8">
        <v>40</v>
      </c>
      <c r="H29" s="3">
        <v>10</v>
      </c>
      <c r="I29" s="3" t="s">
        <v>15</v>
      </c>
    </row>
    <row r="30" spans="1:25" ht="15.75" customHeight="1" x14ac:dyDescent="0.25">
      <c r="A30" t="s">
        <v>145</v>
      </c>
      <c r="B30" t="s">
        <v>111</v>
      </c>
      <c r="C30" s="2" t="s">
        <v>82</v>
      </c>
      <c r="D30" s="2" t="s">
        <v>67</v>
      </c>
      <c r="E30" s="2" t="s">
        <v>83</v>
      </c>
      <c r="F30" s="2" t="str">
        <f t="shared" si="0"/>
        <v>Fitness Tracker-Garmin</v>
      </c>
      <c r="G30" s="7">
        <v>130</v>
      </c>
      <c r="H30" s="2">
        <v>5</v>
      </c>
      <c r="I30" s="2" t="s">
        <v>7</v>
      </c>
    </row>
    <row r="31" spans="1:25" ht="15.75" customHeight="1" x14ac:dyDescent="0.25">
      <c r="A31" t="s">
        <v>146</v>
      </c>
      <c r="B31" t="s">
        <v>111</v>
      </c>
      <c r="C31" s="3" t="s">
        <v>84</v>
      </c>
      <c r="D31" s="3" t="s">
        <v>85</v>
      </c>
      <c r="E31" s="3" t="s">
        <v>86</v>
      </c>
      <c r="F31" s="2" t="str">
        <f t="shared" si="0"/>
        <v>Jeans-Levi's</v>
      </c>
      <c r="G31" s="8">
        <v>50</v>
      </c>
      <c r="H31" s="3">
        <v>50</v>
      </c>
      <c r="I31" s="3" t="s">
        <v>11</v>
      </c>
    </row>
    <row r="32" spans="1:25" ht="15.75" customHeight="1" x14ac:dyDescent="0.25">
      <c r="A32" t="s">
        <v>147</v>
      </c>
      <c r="B32" t="s">
        <v>117</v>
      </c>
      <c r="C32" s="3" t="s">
        <v>87</v>
      </c>
      <c r="D32" s="3" t="s">
        <v>88</v>
      </c>
      <c r="E32" s="3" t="s">
        <v>89</v>
      </c>
      <c r="F32" s="2" t="str">
        <f t="shared" si="0"/>
        <v>Watch-Casio</v>
      </c>
      <c r="G32" s="8">
        <v>100</v>
      </c>
      <c r="H32" s="3">
        <v>20</v>
      </c>
      <c r="I32" s="3" t="s">
        <v>49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G2:G3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{56B7F972-E366-4A58-971E-0985E739936A}</x14:id>
        </ext>
      </extLst>
    </cfRule>
  </conditionalFormatting>
  <conditionalFormatting sqref="I2:I32">
    <cfRule type="containsText" dxfId="0" priority="1" operator="containsText" text="Electronics">
      <formula>NOT(ISERROR(SEARCH("Electronics",I2)))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B7F972-E366-4A58-971E-0985E73993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G2:G32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mythili v</cp:lastModifiedBy>
  <dcterms:modified xsi:type="dcterms:W3CDTF">2026-06-16T11:20:18Z</dcterms:modified>
</cp:coreProperties>
</file>